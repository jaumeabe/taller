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mierpigs365-my.sharepoint.com/personal/logistica_premierpigs_com/Documents/Escritorio/"/>
    </mc:Choice>
  </mc:AlternateContent>
  <xr:revisionPtr revIDLastSave="142" documentId="8_{C0C80A64-4817-41AE-A90F-59A288E27331}" xr6:coauthVersionLast="47" xr6:coauthVersionMax="47" xr10:uidLastSave="{EED304B7-4415-47F6-8F0D-9BA75A34F266}"/>
  <bookViews>
    <workbookView xWindow="-109" yWindow="-109" windowWidth="26301" windowHeight="14169" xr2:uid="{C25C987E-4DF2-40E5-AB19-68ACC31D1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42" i="1"/>
  <c r="G43" i="1"/>
  <c r="G44" i="1"/>
  <c r="G36" i="1"/>
  <c r="C37" i="1"/>
  <c r="C38" i="1"/>
  <c r="C39" i="1"/>
  <c r="C40" i="1"/>
  <c r="C41" i="1"/>
  <c r="C42" i="1"/>
  <c r="C43" i="1"/>
  <c r="C44" i="1"/>
  <c r="C36" i="1"/>
  <c r="G23" i="1"/>
  <c r="G24" i="1"/>
  <c r="G25" i="1"/>
  <c r="C22" i="1"/>
  <c r="G22" i="1" s="1"/>
  <c r="C23" i="1"/>
  <c r="C24" i="1"/>
  <c r="C25" i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21" i="1"/>
  <c r="G21" i="1" s="1"/>
  <c r="G15" i="1"/>
  <c r="G16" i="1"/>
  <c r="G17" i="1"/>
  <c r="C6" i="1"/>
  <c r="G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G12" i="1" s="1"/>
  <c r="C13" i="1"/>
  <c r="G13" i="1" s="1"/>
  <c r="C14" i="1"/>
  <c r="G14" i="1" s="1"/>
  <c r="C15" i="1"/>
  <c r="C16" i="1"/>
  <c r="C17" i="1"/>
  <c r="C5" i="1"/>
  <c r="G5" i="1" s="1"/>
</calcChain>
</file>

<file path=xl/sharedStrings.xml><?xml version="1.0" encoding="utf-8"?>
<sst xmlns="http://schemas.openxmlformats.org/spreadsheetml/2006/main" count="98" uniqueCount="85">
  <si>
    <t>TABLA TRABAJOS TALLER</t>
  </si>
  <si>
    <t>Reparacion cubas y jaulas</t>
  </si>
  <si>
    <t>TIEMPO</t>
  </si>
  <si>
    <t>OFICIAL</t>
  </si>
  <si>
    <t>AYUDANTE</t>
  </si>
  <si>
    <t>COSTE HORA</t>
  </si>
  <si>
    <t>TOTAL  COSTE HORAS</t>
  </si>
  <si>
    <t>Cambiar aceite hidraulico</t>
  </si>
  <si>
    <t>Cambiar ballestas</t>
  </si>
  <si>
    <t>Codigo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</si>
  <si>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</si>
  <si>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</si>
  <si>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</si>
  <si>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</si>
  <si>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</si>
  <si>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</si>
  <si>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</si>
  <si>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</si>
  <si>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</si>
  <si>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</si>
  <si>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</si>
  <si>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</si>
  <si>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</si>
  <si>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Cambiar pastillas 1 eje</t>
  </si>
  <si>
    <t>Cambiar discos 1 eje</t>
  </si>
  <si>
    <t>Cambiar bombona suspension</t>
  </si>
  <si>
    <t>Cambiarcasquillos sin fin</t>
  </si>
  <si>
    <t>Cambiar 1 casquillo arrastre</t>
  </si>
  <si>
    <t>Cambiar motor hidraulico</t>
  </si>
  <si>
    <t>Soldar puertas jaula</t>
  </si>
  <si>
    <t>Cambiar casquillo 1 eje</t>
  </si>
  <si>
    <t>Cambiar amortiguador</t>
  </si>
  <si>
    <t>Cambiar sirga ventas jaula</t>
  </si>
  <si>
    <t>Cambiar baterias jaula</t>
  </si>
  <si>
    <t>Reparacion tractoras</t>
  </si>
  <si>
    <t>TOTAL COSTE HORAS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</si>
  <si>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</si>
  <si>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</si>
  <si>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</si>
  <si>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</si>
  <si>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</si>
  <si>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</si>
  <si>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</si>
  <si>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</si>
  <si>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</si>
  <si>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</si>
  <si>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</si>
  <si>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</si>
  <si>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Cambiar embrague</t>
  </si>
  <si>
    <t>Cambiar alternador</t>
  </si>
  <si>
    <t>Cambiar radiador motor</t>
  </si>
  <si>
    <t>Cambiar turbocompresor</t>
  </si>
  <si>
    <t>Cambiar bomba agua</t>
  </si>
  <si>
    <t>Cambiar ventilador</t>
  </si>
  <si>
    <t>Cambiar bomba combustible</t>
  </si>
  <si>
    <t>Cambiar 6 inyectores</t>
  </si>
  <si>
    <t>Cambiar correas</t>
  </si>
  <si>
    <t>Cambiar motor de arranque</t>
  </si>
  <si>
    <t>Cambiar pastillas en 1 eje</t>
  </si>
  <si>
    <t>Cambiar casquillos traseros</t>
  </si>
  <si>
    <t>Reparacion vehiculo ligero</t>
  </si>
  <si>
    <t>Cambiar neumaticos</t>
  </si>
  <si>
    <t>Revision mantenimiento</t>
  </si>
  <si>
    <t>Cambiar frenos</t>
  </si>
  <si>
    <t>Carga aire acondicionado</t>
  </si>
  <si>
    <t>Revisar fallos electricos</t>
  </si>
  <si>
    <t>tiempos según averia.</t>
  </si>
  <si>
    <t>R026</t>
  </si>
  <si>
    <t>R027</t>
  </si>
  <si>
    <t>Varios en tractoras</t>
  </si>
  <si>
    <t>Varios en remolques</t>
  </si>
  <si>
    <t>Varios ligeros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</si>
  <si>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</si>
  <si>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</si>
  <si>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</si>
  <si>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</si>
  <si>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</si>
  <si>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</si>
  <si>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</si>
  <si>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</si>
  <si>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</si>
  <si>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RE040</t>
  </si>
  <si>
    <t>SALIDA URGENCIA</t>
  </si>
  <si>
    <t>Cambiar amortiguador trasero</t>
  </si>
  <si>
    <t>Cambiar amortiguador delantero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</si>
</sst>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C25-1908-4864-9014-022141E71EF3}">
  <dimension ref="A1:H46"/>
  <sheetViews>
    <sheetView tabSelected="1" topLeftCell="A21" zoomScale="110" zoomScaleNormal="110" workbookViewId="0">
      <selection activeCell="L36" sqref="L36"/>
    </sheetView>
  </sheetViews>
  <sheetFormatPr baseColWidth="10" defaultRowHeight="14.3" x14ac:dyDescent="0.25"/>
  <cols>
    <col min="2" max="2" width="27.625" bestFit="1" customWidth="1"/>
    <col min="6" max="6" width="11.625" bestFit="1" customWidth="1"/>
    <col min="7" max="7" width="18.625" bestFit="1" customWidth="1"/>
  </cols>
  <sheetData>
    <row r="1" spans="1:8" ht="19.05" x14ac:dyDescent="0.35">
      <c r="B1" s="1" t="s">
        <v>0</v>
      </c>
    </row>
    <row r="4" spans="1:8" x14ac:dyDescent="0.25">
      <c r="A4" s="4" t="s">
        <v>9</v>
      </c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8" x14ac:dyDescent="0.25">
      <c r="A5" s="2" t="s">
        <v>10</v>
      </c>
      <c r="B5" s="2" t="s">
        <v>7</v>
      </c>
      <c r="C5" s="3">
        <f>D5+E5</f>
        <v>8</v>
      </c>
      <c r="D5" s="3">
        <v>4</v>
      </c>
      <c r="E5" s="3">
        <v>4</v>
      </c>
      <c r="F5" s="3">
        <v>22</v>
      </c>
      <c r="G5" s="3">
        <f>C5*F5</f>
        <v>176</v>
      </c>
    </row>
    <row r="6" spans="1:8" x14ac:dyDescent="0.25">
      <c r="A6" s="2" t="s">
        <v>11</v>
      </c>
      <c r="B6" s="2" t="s">
        <v>8</v>
      </c>
      <c r="C6" s="3">
        <f t="shared" ref="C6:C17" si="0">D6+E6</f>
        <v>6</v>
      </c>
      <c r="D6" s="3">
        <v>3</v>
      </c>
      <c r="E6" s="3">
        <v>3</v>
      </c>
      <c r="F6" s="3">
        <v>22</v>
      </c>
      <c r="G6" s="3">
        <f t="shared" ref="G6:G17" si="1">C6*F6</f>
        <v>132</v>
      </c>
    </row>
    <row r="7" spans="1:8" x14ac:dyDescent="0.25">
      <c r="A7" s="2" t="s">
        <v>12</v>
      </c>
      <c r="B7" s="2" t="s">
        <v>23</v>
      </c>
      <c r="C7" s="3">
        <f t="shared" si="0"/>
        <v>1.5</v>
      </c>
      <c r="D7" s="3">
        <v>1.5</v>
      </c>
      <c r="E7" s="3">
        <v>0</v>
      </c>
      <c r="F7" s="3">
        <v>22</v>
      </c>
      <c r="G7" s="3">
        <f t="shared" si="1"/>
        <v>33</v>
      </c>
    </row>
    <row r="8" spans="1:8" x14ac:dyDescent="0.25">
      <c r="A8" s="2" t="s">
        <v>13</v>
      </c>
      <c r="B8" s="2" t="s">
        <v>24</v>
      </c>
      <c r="C8" s="3">
        <f t="shared" si="0"/>
        <v>8</v>
      </c>
      <c r="D8" s="3">
        <v>4</v>
      </c>
      <c r="E8" s="3">
        <v>4</v>
      </c>
      <c r="F8" s="3">
        <v>22</v>
      </c>
      <c r="G8" s="3">
        <f t="shared" si="1"/>
        <v>176</v>
      </c>
    </row>
    <row r="9" spans="1:8" x14ac:dyDescent="0.25">
      <c r="A9" s="2" t="s">
        <v>14</v>
      </c>
      <c r="B9" s="2" t="s">
        <v>25</v>
      </c>
      <c r="C9" s="3">
        <f t="shared" si="0"/>
        <v>1</v>
      </c>
      <c r="D9" s="3">
        <v>1</v>
      </c>
      <c r="E9" s="3">
        <v>0</v>
      </c>
      <c r="F9" s="3">
        <v>22</v>
      </c>
      <c r="G9" s="3">
        <f t="shared" si="1"/>
        <v>22</v>
      </c>
    </row>
    <row r="10" spans="1:8" x14ac:dyDescent="0.25">
      <c r="A10" s="2" t="s">
        <v>15</v>
      </c>
      <c r="B10" s="2" t="s">
        <v>26</v>
      </c>
      <c r="C10" s="3">
        <f t="shared" si="0"/>
        <v>6</v>
      </c>
      <c r="D10" s="3">
        <v>3</v>
      </c>
      <c r="E10" s="3">
        <v>3</v>
      </c>
      <c r="F10" s="3">
        <v>22</v>
      </c>
      <c r="G10" s="3">
        <f t="shared" si="1"/>
        <v>132</v>
      </c>
    </row>
    <row r="11" spans="1:8" x14ac:dyDescent="0.25">
      <c r="A11" s="2" t="s">
        <v>16</v>
      </c>
      <c r="B11" s="2" t="s">
        <v>27</v>
      </c>
      <c r="C11" s="3">
        <f t="shared" si="0"/>
        <v>6</v>
      </c>
      <c r="D11" s="3">
        <v>3</v>
      </c>
      <c r="E11" s="3">
        <v>3</v>
      </c>
      <c r="F11" s="3">
        <v>22</v>
      </c>
      <c r="G11" s="3">
        <f t="shared" si="1"/>
        <v>132</v>
      </c>
    </row>
    <row r="12" spans="1:8" x14ac:dyDescent="0.25">
      <c r="A12" s="2" t="s">
        <v>17</v>
      </c>
      <c r="B12" s="2" t="s">
        <v>28</v>
      </c>
      <c r="C12" s="3">
        <f t="shared" si="0"/>
        <v>1.5</v>
      </c>
      <c r="D12" s="3">
        <v>1.5</v>
      </c>
      <c r="E12" s="3">
        <v>0</v>
      </c>
      <c r="F12" s="3">
        <v>22</v>
      </c>
      <c r="G12" s="3">
        <f t="shared" si="1"/>
        <v>33</v>
      </c>
    </row>
    <row r="13" spans="1:8" x14ac:dyDescent="0.25">
      <c r="A13" s="2" t="s">
        <v>18</v>
      </c>
      <c r="B13" s="2" t="s">
        <v>29</v>
      </c>
      <c r="C13" s="3">
        <f t="shared" si="0"/>
        <v>0</v>
      </c>
      <c r="D13" s="3">
        <v>0</v>
      </c>
      <c r="E13" s="3">
        <v>0</v>
      </c>
      <c r="F13" s="3">
        <v>22</v>
      </c>
      <c r="G13" s="3">
        <f t="shared" si="1"/>
        <v>0</v>
      </c>
      <c r="H13" t="s">
        <v>66</v>
      </c>
    </row>
    <row r="14" spans="1:8" x14ac:dyDescent="0.25">
      <c r="A14" s="2" t="s">
        <v>19</v>
      </c>
      <c r="B14" s="2" t="s">
        <v>30</v>
      </c>
      <c r="C14" s="3">
        <f t="shared" si="0"/>
        <v>4</v>
      </c>
      <c r="D14" s="3">
        <v>2</v>
      </c>
      <c r="E14" s="3">
        <v>2</v>
      </c>
      <c r="F14" s="3">
        <v>22</v>
      </c>
      <c r="G14" s="3">
        <f t="shared" si="1"/>
        <v>88</v>
      </c>
    </row>
    <row r="15" spans="1:8" x14ac:dyDescent="0.25">
      <c r="A15" s="2" t="s">
        <v>20</v>
      </c>
      <c r="B15" s="2" t="s">
        <v>31</v>
      </c>
      <c r="C15" s="3">
        <f t="shared" si="0"/>
        <v>1</v>
      </c>
      <c r="D15" s="3">
        <v>1</v>
      </c>
      <c r="E15" s="3">
        <v>0</v>
      </c>
      <c r="F15" s="3">
        <v>22</v>
      </c>
      <c r="G15" s="3">
        <f t="shared" si="1"/>
        <v>22</v>
      </c>
    </row>
    <row r="16" spans="1:8" x14ac:dyDescent="0.25">
      <c r="A16" s="2" t="s">
        <v>21</v>
      </c>
      <c r="B16" s="2" t="s">
        <v>32</v>
      </c>
      <c r="C16" s="3">
        <f t="shared" si="0"/>
        <v>4</v>
      </c>
      <c r="D16" s="3">
        <v>2</v>
      </c>
      <c r="E16" s="3">
        <v>2</v>
      </c>
      <c r="F16" s="3">
        <v>22</v>
      </c>
      <c r="G16" s="3">
        <f t="shared" si="1"/>
        <v>88</v>
      </c>
    </row>
    <row r="17" spans="1:7" x14ac:dyDescent="0.25">
      <c r="A17" s="2" t="s">
        <v>22</v>
      </c>
      <c r="B17" s="2" t="s">
        <v>33</v>
      </c>
      <c r="C17" s="3">
        <f t="shared" si="0"/>
        <v>1</v>
      </c>
      <c r="D17" s="3">
        <v>1</v>
      </c>
      <c r="E17" s="3">
        <v>0</v>
      </c>
      <c r="F17" s="3">
        <v>22</v>
      </c>
      <c r="G17" s="3">
        <f t="shared" si="1"/>
        <v>22</v>
      </c>
    </row>
    <row r="18" spans="1:7" x14ac:dyDescent="0.25">
      <c r="A18" s="2" t="s">
        <v>36</v>
      </c>
      <c r="B18" s="2" t="s">
        <v>70</v>
      </c>
      <c r="C18" s="2"/>
      <c r="D18" s="2"/>
      <c r="E18" s="2"/>
      <c r="F18" s="3">
        <v>22</v>
      </c>
      <c r="G18" s="2"/>
    </row>
    <row r="20" spans="1:7" x14ac:dyDescent="0.25">
      <c r="A20" s="4" t="s">
        <v>9</v>
      </c>
      <c r="B20" s="4" t="s">
        <v>34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35</v>
      </c>
    </row>
    <row r="21" spans="1:7" x14ac:dyDescent="0.25">
      <c r="A21" s="2" t="s">
        <v>37</v>
      </c>
      <c r="B21" s="2" t="s">
        <v>48</v>
      </c>
      <c r="C21" s="3">
        <f>D21+E21</f>
        <v>20</v>
      </c>
      <c r="D21" s="3">
        <v>10</v>
      </c>
      <c r="E21" s="3">
        <v>10</v>
      </c>
      <c r="F21" s="3">
        <v>22</v>
      </c>
      <c r="G21" s="3">
        <f>C21*F21</f>
        <v>440</v>
      </c>
    </row>
    <row r="22" spans="1:7" x14ac:dyDescent="0.25">
      <c r="A22" s="2" t="s">
        <v>38</v>
      </c>
      <c r="B22" s="2" t="s">
        <v>49</v>
      </c>
      <c r="C22" s="3">
        <f t="shared" ref="C22:C32" si="2">D22+E22</f>
        <v>1.5</v>
      </c>
      <c r="D22" s="3">
        <v>1.5</v>
      </c>
      <c r="E22" s="3">
        <v>0</v>
      </c>
      <c r="F22" s="3">
        <v>22</v>
      </c>
      <c r="G22" s="3">
        <f t="shared" ref="G22:G32" si="3">C22*F22</f>
        <v>33</v>
      </c>
    </row>
    <row r="23" spans="1:7" x14ac:dyDescent="0.25">
      <c r="A23" s="2" t="s">
        <v>39</v>
      </c>
      <c r="B23" s="2" t="s">
        <v>50</v>
      </c>
      <c r="C23" s="3">
        <f t="shared" si="2"/>
        <v>12</v>
      </c>
      <c r="D23" s="3">
        <v>6</v>
      </c>
      <c r="E23" s="3">
        <v>6</v>
      </c>
      <c r="F23" s="3">
        <v>22</v>
      </c>
      <c r="G23" s="3">
        <f t="shared" si="3"/>
        <v>264</v>
      </c>
    </row>
    <row r="24" spans="1:7" x14ac:dyDescent="0.25">
      <c r="A24" s="2" t="s">
        <v>40</v>
      </c>
      <c r="B24" s="2" t="s">
        <v>51</v>
      </c>
      <c r="C24" s="3">
        <f t="shared" si="2"/>
        <v>4</v>
      </c>
      <c r="D24" s="3">
        <v>2</v>
      </c>
      <c r="E24" s="3">
        <v>2</v>
      </c>
      <c r="F24" s="3">
        <v>22</v>
      </c>
      <c r="G24" s="3">
        <f t="shared" si="3"/>
        <v>88</v>
      </c>
    </row>
    <row r="25" spans="1:7" x14ac:dyDescent="0.25">
      <c r="A25" s="2" t="s">
        <v>41</v>
      </c>
      <c r="B25" s="2" t="s">
        <v>52</v>
      </c>
      <c r="C25" s="3">
        <f t="shared" si="2"/>
        <v>5</v>
      </c>
      <c r="D25" s="3">
        <v>2.5</v>
      </c>
      <c r="E25" s="3">
        <v>2.5</v>
      </c>
      <c r="F25" s="3">
        <v>22</v>
      </c>
      <c r="G25" s="3">
        <f t="shared" si="3"/>
        <v>110</v>
      </c>
    </row>
    <row r="26" spans="1:7" x14ac:dyDescent="0.25">
      <c r="A26" s="2" t="s">
        <v>42</v>
      </c>
      <c r="B26" s="2" t="s">
        <v>53</v>
      </c>
      <c r="C26" s="3">
        <f t="shared" si="2"/>
        <v>5</v>
      </c>
      <c r="D26" s="3">
        <v>2.5</v>
      </c>
      <c r="E26" s="3">
        <v>2.5</v>
      </c>
      <c r="F26" s="3">
        <v>22</v>
      </c>
      <c r="G26" s="3">
        <f t="shared" si="3"/>
        <v>110</v>
      </c>
    </row>
    <row r="27" spans="1:7" x14ac:dyDescent="0.25">
      <c r="A27" s="2" t="s">
        <v>43</v>
      </c>
      <c r="B27" s="2" t="s">
        <v>54</v>
      </c>
      <c r="C27" s="3">
        <f t="shared" si="2"/>
        <v>3</v>
      </c>
      <c r="D27" s="3">
        <v>1.5</v>
      </c>
      <c r="E27" s="3">
        <v>1.5</v>
      </c>
      <c r="F27" s="3">
        <v>22</v>
      </c>
      <c r="G27" s="3">
        <f t="shared" si="3"/>
        <v>66</v>
      </c>
    </row>
    <row r="28" spans="1:7" x14ac:dyDescent="0.25">
      <c r="A28" s="2" t="s">
        <v>44</v>
      </c>
      <c r="B28" s="2" t="s">
        <v>55</v>
      </c>
      <c r="C28" s="3">
        <f t="shared" si="2"/>
        <v>16</v>
      </c>
      <c r="D28" s="3">
        <v>8</v>
      </c>
      <c r="E28" s="3">
        <v>8</v>
      </c>
      <c r="F28" s="3">
        <v>22</v>
      </c>
      <c r="G28" s="3">
        <f t="shared" si="3"/>
        <v>352</v>
      </c>
    </row>
    <row r="29" spans="1:7" x14ac:dyDescent="0.25">
      <c r="A29" s="2" t="s">
        <v>45</v>
      </c>
      <c r="B29" s="2" t="s">
        <v>56</v>
      </c>
      <c r="C29" s="3">
        <f t="shared" si="2"/>
        <v>1.5</v>
      </c>
      <c r="D29" s="3">
        <v>1.5</v>
      </c>
      <c r="E29" s="3">
        <v>0</v>
      </c>
      <c r="F29" s="3">
        <v>22</v>
      </c>
      <c r="G29" s="3">
        <f t="shared" si="3"/>
        <v>33</v>
      </c>
    </row>
    <row r="30" spans="1:7" x14ac:dyDescent="0.25">
      <c r="A30" s="2" t="s">
        <v>46</v>
      </c>
      <c r="B30" s="2" t="s">
        <v>57</v>
      </c>
      <c r="C30" s="3">
        <f t="shared" si="2"/>
        <v>1.5</v>
      </c>
      <c r="D30" s="3">
        <v>1.5</v>
      </c>
      <c r="E30" s="3">
        <v>0</v>
      </c>
      <c r="F30" s="3">
        <v>22</v>
      </c>
      <c r="G30" s="3">
        <f t="shared" si="3"/>
        <v>33</v>
      </c>
    </row>
    <row r="31" spans="1:7" x14ac:dyDescent="0.25">
      <c r="A31" s="2" t="s">
        <v>47</v>
      </c>
      <c r="B31" s="2" t="s">
        <v>58</v>
      </c>
      <c r="C31" s="3">
        <f t="shared" si="2"/>
        <v>1.5</v>
      </c>
      <c r="D31" s="3">
        <v>1.5</v>
      </c>
      <c r="E31" s="3">
        <v>0</v>
      </c>
      <c r="F31" s="3">
        <v>22</v>
      </c>
      <c r="G31" s="3">
        <f t="shared" si="3"/>
        <v>33</v>
      </c>
    </row>
    <row r="32" spans="1:7" x14ac:dyDescent="0.25">
      <c r="A32" s="2" t="s">
        <v>67</v>
      </c>
      <c r="B32" s="2" t="s">
        <v>59</v>
      </c>
      <c r="C32" s="3">
        <f t="shared" si="2"/>
        <v>4</v>
      </c>
      <c r="D32" s="3">
        <v>2</v>
      </c>
      <c r="E32" s="3">
        <v>2</v>
      </c>
      <c r="F32" s="3">
        <v>22</v>
      </c>
      <c r="G32" s="3">
        <f t="shared" si="3"/>
        <v>88</v>
      </c>
    </row>
    <row r="33" spans="1:8" x14ac:dyDescent="0.25">
      <c r="A33" s="2" t="s">
        <v>68</v>
      </c>
      <c r="B33" s="2" t="s">
        <v>69</v>
      </c>
      <c r="C33" s="2"/>
      <c r="D33" s="2"/>
      <c r="E33" s="2"/>
      <c r="F33" s="3">
        <v>22</v>
      </c>
      <c r="G33" s="2"/>
    </row>
    <row r="35" spans="1:8" x14ac:dyDescent="0.25">
      <c r="A35" s="4" t="s">
        <v>9</v>
      </c>
      <c r="B35" s="4" t="s">
        <v>60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35</v>
      </c>
    </row>
    <row r="36" spans="1:8" x14ac:dyDescent="0.25">
      <c r="A36" s="2" t="s">
        <v>72</v>
      </c>
      <c r="B36" s="2" t="s">
        <v>61</v>
      </c>
      <c r="C36" s="3">
        <f>D36+E36</f>
        <v>1.5</v>
      </c>
      <c r="D36" s="3">
        <v>1.5</v>
      </c>
      <c r="E36" s="3">
        <v>0</v>
      </c>
      <c r="F36" s="3">
        <v>22</v>
      </c>
      <c r="G36" s="3">
        <f>C36*F36</f>
        <v>33</v>
      </c>
    </row>
    <row r="37" spans="1:8" x14ac:dyDescent="0.25">
      <c r="A37" s="2" t="s">
        <v>73</v>
      </c>
      <c r="B37" s="2" t="s">
        <v>62</v>
      </c>
      <c r="C37" s="3">
        <f t="shared" ref="C37:C44" si="4">D37+E37</f>
        <v>1</v>
      </c>
      <c r="D37" s="3">
        <v>1</v>
      </c>
      <c r="E37" s="3">
        <v>0</v>
      </c>
      <c r="F37" s="3">
        <v>22</v>
      </c>
      <c r="G37" s="3">
        <f t="shared" ref="G37:G44" si="5">C37*F37</f>
        <v>22</v>
      </c>
    </row>
    <row r="38" spans="1:8" x14ac:dyDescent="0.25">
      <c r="A38" s="2" t="s">
        <v>74</v>
      </c>
      <c r="B38" s="2" t="s">
        <v>63</v>
      </c>
      <c r="C38" s="3">
        <f t="shared" si="4"/>
        <v>1.5</v>
      </c>
      <c r="D38" s="3">
        <v>1.5</v>
      </c>
      <c r="E38" s="3">
        <v>0</v>
      </c>
      <c r="F38" s="3">
        <v>22</v>
      </c>
      <c r="G38" s="3">
        <f t="shared" si="5"/>
        <v>33</v>
      </c>
    </row>
    <row r="39" spans="1:8" x14ac:dyDescent="0.25">
      <c r="A39" s="2" t="s">
        <v>75</v>
      </c>
      <c r="B39" s="2" t="s">
        <v>48</v>
      </c>
      <c r="C39" s="3">
        <f t="shared" si="4"/>
        <v>8</v>
      </c>
      <c r="D39" s="3">
        <v>6</v>
      </c>
      <c r="E39" s="3">
        <v>2</v>
      </c>
      <c r="F39" s="3">
        <v>22</v>
      </c>
      <c r="G39" s="3">
        <f t="shared" si="5"/>
        <v>176</v>
      </c>
    </row>
    <row r="40" spans="1:8" x14ac:dyDescent="0.25">
      <c r="A40" s="2" t="s">
        <v>76</v>
      </c>
      <c r="B40" s="2" t="s">
        <v>64</v>
      </c>
      <c r="C40" s="3">
        <f t="shared" si="4"/>
        <v>1</v>
      </c>
      <c r="D40" s="3">
        <v>1</v>
      </c>
      <c r="E40" s="3">
        <v>0</v>
      </c>
      <c r="F40" s="3">
        <v>22</v>
      </c>
      <c r="G40" s="3">
        <f t="shared" si="5"/>
        <v>22</v>
      </c>
    </row>
    <row r="41" spans="1:8" x14ac:dyDescent="0.25">
      <c r="A41" s="2" t="s">
        <v>77</v>
      </c>
      <c r="B41" s="2" t="s">
        <v>84</v>
      </c>
      <c r="C41" s="3">
        <f t="shared" si="4"/>
        <v>2</v>
      </c>
      <c r="D41" s="3">
        <v>2</v>
      </c>
      <c r="E41" s="3">
        <v>0</v>
      </c>
      <c r="F41" s="3">
        <v>22</v>
      </c>
      <c r="G41" s="3">
        <f t="shared" si="5"/>
        <v>44</v>
      </c>
    </row>
    <row r="42" spans="1:8" x14ac:dyDescent="0.25">
      <c r="A42" s="2" t="s">
        <v>78</v>
      </c>
      <c r="B42" s="2" t="s">
        <v>65</v>
      </c>
      <c r="C42" s="3">
        <f t="shared" si="4"/>
        <v>0</v>
      </c>
      <c r="D42" s="3">
        <v>0</v>
      </c>
      <c r="E42" s="3">
        <v>0</v>
      </c>
      <c r="F42" s="3">
        <v>22</v>
      </c>
      <c r="G42" s="3">
        <f t="shared" si="5"/>
        <v>0</v>
      </c>
      <c r="H42" t="s">
        <v>66</v>
      </c>
    </row>
    <row r="43" spans="1:8" x14ac:dyDescent="0.25">
      <c r="A43" s="2" t="s">
        <v>79</v>
      </c>
      <c r="B43" s="2" t="s">
        <v>83</v>
      </c>
      <c r="C43" s="3">
        <f t="shared" si="4"/>
        <v>1</v>
      </c>
      <c r="D43" s="3">
        <v>1</v>
      </c>
      <c r="E43" s="3">
        <v>0</v>
      </c>
      <c r="F43" s="3">
        <v>22</v>
      </c>
      <c r="G43" s="3">
        <f t="shared" si="5"/>
        <v>22</v>
      </c>
    </row>
    <row r="44" spans="1:8" x14ac:dyDescent="0.25">
      <c r="A44" s="2" t="s">
        <v>80</v>
      </c>
      <c r="B44" s="2" t="s">
        <v>71</v>
      </c>
      <c r="C44" s="3">
        <f t="shared" si="4"/>
        <v>0</v>
      </c>
      <c r="D44" s="3">
        <v>0</v>
      </c>
      <c r="E44" s="3">
        <v>0</v>
      </c>
      <c r="F44" s="3">
        <v>22</v>
      </c>
      <c r="G44" s="3">
        <f t="shared" si="5"/>
        <v>0</v>
      </c>
    </row>
    <row r="46" spans="1:8" x14ac:dyDescent="0.25">
      <c r="A46" s="4" t="s">
        <v>81</v>
      </c>
      <c r="B46" s="4" t="s">
        <v>82</v>
      </c>
      <c r="C46" s="4"/>
      <c r="D46" s="4"/>
      <c r="E46" s="4"/>
      <c r="F46" s="5">
        <v>22</v>
      </c>
      <c r="G46" s="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Román | Premier Pigs</dc:creator>
  <cp:lastModifiedBy>José Román | Premier Pigs</cp:lastModifiedBy>
  <cp:lastPrinted>2026-02-19T12:22:11Z</cp:lastPrinted>
  <dcterms:created xsi:type="dcterms:W3CDTF">2026-02-18T15:53:08Z</dcterms:created>
  <dcterms:modified xsi:type="dcterms:W3CDTF">2026-02-19T14:05:44Z</dcterms:modified>
</cp:coreProperties>
</file>